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89171c96d88985/Desktop/EXCEL1/"/>
    </mc:Choice>
  </mc:AlternateContent>
  <xr:revisionPtr revIDLastSave="103" documentId="8_{B01651A3-BC72-48BF-A8DB-B2F605C2C103}" xr6:coauthVersionLast="47" xr6:coauthVersionMax="47" xr10:uidLastSave="{752893FA-C6EC-41AD-B41D-6674C1EDC4D2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<sst xmlns="http://schemas.openxmlformats.org/spreadsheetml/2006/main" count="469" uniqueCount="235">
  <si>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</si>
  <si>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</si>
  <si>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</si>
  <si>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</si>
  <si>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</si>
  <si>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</si>
  <si>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</si>
  <si>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</si>
  <si>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</si>
  <si>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</si>
  <si>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</si>
  <si>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</si>
  <si>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</si>
  <si>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</si>
  <si>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</si>
  <si>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</si>
  <si>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</si>
  <si>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</si>
  <si>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</si>
  <si>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</si>
  <si>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</si>
  <si>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</si>
  <si>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</si>
  <si>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</si>
  <si>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</si>
  <si>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</si>
  <si>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</si>
  <si>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</si>
  <si>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</si>
  <si>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</si>
  <si>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</si>
  <si>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</si>
  <si>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</si>
  <si>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</si>
  <si>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</si>
  <si>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</si>
  <si>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</si>
  <si>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</si>
  <si>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</si>
  <si>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</si>
  <si>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</si>
  <si>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</si>
  <si>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</si>
  <si>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</si>
  <si>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</si>
  <si>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</si>
  <si>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</si>
  <si>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</si>
  <si>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</si>
  <si>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</si>
  <si>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</si>
  <si>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</si>
  <si>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</si>
  <si>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</si>
  <si>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</si>
  <si>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</si>
  <si>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</si>
  <si>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</si>
  <si>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</si>
  <si>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</si>
  <si>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</si>
  <si>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</si>
  <si>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</si>
  <si>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</si>
  <si>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</si>
  <si>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</si>
  <si>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</si>
  <si>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</si>
  <si>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</si>
  <si>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</si>
  <si>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</si>
  <si>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</si>
  <si>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</si>
  <si>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</si>
  <si>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</si>
  <si>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</si>
  <si>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</si>
  <si>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</si>
  <si>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</si>
  <si>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</si>
  <si>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</si>
  <si>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</si>
  <si>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</si>
  <si>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</si>
  <si>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</si>
  <si>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</si>
  <si>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</si>
  <si>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</si>
  <si>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</si>
  <si>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</si>
  <si>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</si>
  <si>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</si>
  <si>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</si>
  <si>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</si>
  <si>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</si>
  <si>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</si>
  <si>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</si>
  <si>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</si>
  <si>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</si>
  <si>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</si>
  <si>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</si>
  <si>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</si>
  <si>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</si>
  <si>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</si>
  <si>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</si>
  <si>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</si>
  <si>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</si>
  <si>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</si>
  <si>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</si>
  <si>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</si>
  <si>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</si>
  <si>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</si>
  <si>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</si>
  <si>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</si>
  <si>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</si>
  <si>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</si>
  <si>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</si>
  <si>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</si>
  <si>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</si>
  <si>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</si>
  <si>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</si>
  <si>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</si>
  <si>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</si>
  <si>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</si>
  <si>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</si>
  <si>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</si>
  <si>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</si>
  <si>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</si>
  <si>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</si>
  <si>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</si>
  <si>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</si>
  <si>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</si>
  <si>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</si>
  <si>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</si>
  <si>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</si>
  <si>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</si>
  <si>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</si>
  <si>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</si>
  <si>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</si>
  <si>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</si>
  <si>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</si>
  <si>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</si>
  <si>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</si>
  <si>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</si>
  <si>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</si>
  <si>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</si>
  <si>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</si>
  <si>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</si>
  <si>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</si>
  <si>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</si>
  <si>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</si>
  <si>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</si>
  <si>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</si>
  <si>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</si>
  <si>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</si>
  <si>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</si>
  <si>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</si>
  <si>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</si>
  <si>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</si>
  <si>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</si>
  <si>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</si>
  <si>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</si>
  <si>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</si>
  <si>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</si>
  <si>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</si>
  <si>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</si>
  <si>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</si>
  <si>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</si>
  <si>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</si>
  <si>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</si>
  <si>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</si>
  <si>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</si>
  <si>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</si>
  <si>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</si>
  <si>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</si>
  <si>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</si>
  <si>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</si>
  <si>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</si>
  <si>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</si>
  <si>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</si>
  <si>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</si>
  <si>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</si>
  <si>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</si>
  <si>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</si>
  <si>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</si>
  <si>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</si>
  <si>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</si>
  <si>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</si>
  <si>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</si>
  <si>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</si>
  <si>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</si>
  <si>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</si>
  <si>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</si>
  <si>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</si>
  <si>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</si>
  <si>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</si>
  <si>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</si>
  <si>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</si>
  <si>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</si>
  <si>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</si>
  <si>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</si>
  <si>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</si>
  <si>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</si>
  <si>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</si>
  <si>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</si>
  <si>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</si>
  <si>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</si>
  <si>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</si>
  <si>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</si>
  <si>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</si>
  <si>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</si>
  <si>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</si>
  <si>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</si>
  <si>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</si>
  <si>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</si>
  <si>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</si>
  <si>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</si>
  <si>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</si>
  <si>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</si>
  <si>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</si>
  <si>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</si>
  <si>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</si>
  <si>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</si>
  <si>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</si>
  <si>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</si>
  <si>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if</t>
  </si>
  <si>
    <t>payment alert</t>
  </si>
  <si>
    <t>Bill category</t>
  </si>
  <si>
    <t>Age category</t>
  </si>
  <si>
    <t>BILLING CASE</t>
  </si>
  <si>
    <t xml:space="preserve">urgent payment </t>
  </si>
  <si>
    <t>Patient department</t>
  </si>
  <si>
    <t>Payment status</t>
  </si>
  <si>
    <t>Risk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</si>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</sst>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[Red]&quot;₹&quot;\ \-#,##0"/>
    <numFmt numFmtId="165" formatCode="&quot;₹&quot;\ #,##0.00;[Red]&quot;₹&quot;\ \-#,##0.00"/>
    <numFmt numFmtId="166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R1" zoomScale="91" zoomScaleNormal="101" workbookViewId="0">
      <selection activeCell="AB9" sqref="AB9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226</v>
      </c>
      <c r="O1" s="14" t="s">
        <v>227</v>
      </c>
      <c r="P1" s="14" t="s">
        <v>228</v>
      </c>
      <c r="Q1" s="14" t="s">
        <v>229</v>
      </c>
      <c r="R1" s="14" t="s">
        <v>230</v>
      </c>
      <c r="S1" s="14" t="s">
        <v>231</v>
      </c>
      <c r="T1" s="14" t="s">
        <v>232</v>
      </c>
      <c r="U1" s="15" t="s">
        <v>227</v>
      </c>
      <c r="V1" s="15" t="s">
        <v>233</v>
      </c>
      <c r="W1" s="15" t="s">
        <v>234</v>
      </c>
    </row>
    <row r="2" spans="1:23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 up","no action")</f>
        <v>no action</v>
      </c>
      <c r="O2" t="str">
        <f>IF(K2&gt;40000,"high bill","normal bill")</f>
        <v>normal bill</v>
      </c>
      <c r="P2" t="str">
        <f>IF(OR(C2=60,C2&gt;60),"senior citizen","non-senior")</f>
        <v>non-senior</v>
      </c>
      <c r="Q2" t="str">
        <f>IF(AND(K2&gt;40000,M2&gt;5),"high billing case","normal case")</f>
        <v>normal case</v>
      </c>
      <c r="R2" t="str">
        <f>IF(AND(L2="Pending",K2&gt;30000),"urgent","normal")</f>
        <v>normal</v>
      </c>
      <c r="S2" t="str">
        <f>IF(OR(E2="Cardiology",E2="Neurology"),"priority department","regular department")</f>
        <v>priority department</v>
      </c>
      <c r="T2" t="str">
        <f>IF(NOT(L2="Pending"),"payment completed","payment pending")</f>
        <v>payment completed</v>
      </c>
      <c r="U2" t="str">
        <f>IF(K2&gt;=50000,"Very",IF(K2&gt;=30000,"High",IF(K2&gt;=15000,"Medium",IF(K2&lt;15000,"Low"))))</f>
        <v>Medium</v>
      </c>
      <c r="V2" t="str">
        <f>IF(AND(K2&gt;40000,L2="Pending"),"High Financial risk","Normal")</f>
        <v>Normal</v>
      </c>
      <c r="W2" t="str">
        <f>IF(AND(OR(E2="Cardiology",E2="Orthopedics"),K2&lt;30000),"MR","no review")</f>
        <v>MR</v>
      </c>
    </row>
    <row r="3" spans="1:23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2" si="0">IF(L3="pending","follow up","no action")</f>
        <v>no action</v>
      </c>
      <c r="O3" t="str">
        <f t="shared" ref="O3:O41" si="1">IF(K3&gt;40000,"high bill","normal bill")</f>
        <v>high bill</v>
      </c>
      <c r="P3" t="str">
        <f t="shared" ref="P3:P41" si="2">IF(OR(C3=60,C3&gt;60),"senior citizen","non-senior")</f>
        <v>non-senior</v>
      </c>
      <c r="Q3" t="str">
        <f t="shared" ref="Q3:Q41" si="3">IF(AND(K3&gt;40000,M3&gt;5),"high billing case","normal case")</f>
        <v>high billing case</v>
      </c>
      <c r="R3" t="str">
        <f t="shared" ref="R3:R41" si="4">IF(AND(L3="Pending",K3&gt;30000),"urgent","normal")</f>
        <v>normal</v>
      </c>
      <c r="S3" t="str">
        <f t="shared" ref="S3:S41" si="5">IF(OR(E3="Cardiology",E3="Neurology"),"priority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IF(K3&gt;=50000,"Very",IF(K3&gt;=30000,"High",IF(K3&gt;=15000,"Medium",IF(K3&lt;15000,"Low"))))</f>
        <v>High</v>
      </c>
      <c r="V3" t="str">
        <f t="shared" ref="V3:V41" si="8">IF(AND(K3&gt;40000,L3="Pending"),"High Financial risk","Normal")</f>
        <v>Normal</v>
      </c>
      <c r="W3" t="str">
        <f t="shared" ref="W3:W41" si="9">IF(AND(OR(E3="Cardiology",E3="Orthopedics"),K3&lt;30000),"MR","no review")</f>
        <v>no review</v>
      </c>
    </row>
    <row r="4" spans="1:23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non-senior</v>
      </c>
      <c r="Q4" t="str">
        <f t="shared" si="3"/>
        <v>normal case</v>
      </c>
      <c r="R4" t="str">
        <f t="shared" si="4"/>
        <v>normal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Normal</v>
      </c>
      <c r="W4" t="str">
        <f t="shared" si="9"/>
        <v>no review</v>
      </c>
    </row>
    <row r="5" spans="1:23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 up</v>
      </c>
      <c r="O5" t="str">
        <f t="shared" si="1"/>
        <v>normal bill</v>
      </c>
      <c r="P5" t="str">
        <f t="shared" si="2"/>
        <v>non-senior</v>
      </c>
      <c r="Q5" t="str">
        <f t="shared" si="3"/>
        <v>normal case</v>
      </c>
      <c r="R5" t="str">
        <f t="shared" si="4"/>
        <v>normal</v>
      </c>
      <c r="S5" t="str">
        <f t="shared" si="5"/>
        <v>priority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Normal</v>
      </c>
      <c r="W5" t="str">
        <f t="shared" si="9"/>
        <v>MR</v>
      </c>
    </row>
    <row r="6" spans="1:23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normal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Normal</v>
      </c>
      <c r="W6" t="str">
        <f t="shared" si="9"/>
        <v>no review</v>
      </c>
    </row>
    <row r="7" spans="1:23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non-senior</v>
      </c>
      <c r="Q7" t="str">
        <f t="shared" si="3"/>
        <v>normal case</v>
      </c>
      <c r="R7" t="str">
        <f t="shared" si="4"/>
        <v>normal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Normal</v>
      </c>
      <c r="W7" t="str">
        <f t="shared" si="9"/>
        <v>no review</v>
      </c>
    </row>
    <row r="8" spans="1:23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 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</v>
      </c>
      <c r="S8" t="str">
        <f t="shared" si="5"/>
        <v>priority department</v>
      </c>
      <c r="T8" t="str">
        <f t="shared" si="6"/>
        <v>payment pending</v>
      </c>
      <c r="U8" t="str">
        <f t="shared" si="7"/>
        <v>Very</v>
      </c>
      <c r="V8" t="str">
        <f t="shared" si="8"/>
        <v>High Financial risk</v>
      </c>
      <c r="W8" t="str">
        <f t="shared" si="9"/>
        <v>no review</v>
      </c>
    </row>
    <row r="9" spans="1:23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non-senior</v>
      </c>
      <c r="Q9" t="str">
        <f t="shared" si="3"/>
        <v>normal case</v>
      </c>
      <c r="R9" t="str">
        <f t="shared" si="4"/>
        <v>normal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Normal</v>
      </c>
      <c r="W9" t="str">
        <f t="shared" si="9"/>
        <v>no review</v>
      </c>
    </row>
    <row r="10" spans="1:23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non-senior</v>
      </c>
      <c r="Q10" t="str">
        <f t="shared" si="3"/>
        <v>normal case</v>
      </c>
      <c r="R10" t="str">
        <f t="shared" si="4"/>
        <v>normal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Normal</v>
      </c>
      <c r="W10" t="str">
        <f t="shared" si="9"/>
        <v>MR</v>
      </c>
    </row>
    <row r="11" spans="1:23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non-senior</v>
      </c>
      <c r="Q11" t="str">
        <f t="shared" si="3"/>
        <v>normal case</v>
      </c>
      <c r="R11" t="str">
        <f t="shared" si="4"/>
        <v>normal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Normal</v>
      </c>
      <c r="W11" t="str">
        <f t="shared" si="9"/>
        <v>no review</v>
      </c>
    </row>
    <row r="12" spans="1:23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normal</v>
      </c>
      <c r="S12" t="str">
        <f t="shared" si="5"/>
        <v>priority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Normal</v>
      </c>
      <c r="W12" t="str">
        <f t="shared" si="9"/>
        <v>MR</v>
      </c>
    </row>
    <row r="13" spans="1:23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 up</v>
      </c>
      <c r="O13" t="str">
        <f t="shared" si="1"/>
        <v>normal bill</v>
      </c>
      <c r="P13" t="str">
        <f t="shared" si="2"/>
        <v>non-senior</v>
      </c>
      <c r="Q13" t="str">
        <f t="shared" si="3"/>
        <v>normal case</v>
      </c>
      <c r="R13" t="str">
        <f t="shared" si="4"/>
        <v>urgent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Normal</v>
      </c>
      <c r="W13" t="str">
        <f t="shared" si="9"/>
        <v>no review</v>
      </c>
    </row>
    <row r="14" spans="1:23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non-senior</v>
      </c>
      <c r="Q14" t="str">
        <f t="shared" si="3"/>
        <v>normal case</v>
      </c>
      <c r="R14" t="str">
        <f t="shared" si="4"/>
        <v>normal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Normal</v>
      </c>
      <c r="W14" t="str">
        <f t="shared" si="9"/>
        <v>MR</v>
      </c>
    </row>
    <row r="15" spans="1:23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non-senior</v>
      </c>
      <c r="Q15" t="str">
        <f t="shared" si="3"/>
        <v>normal case</v>
      </c>
      <c r="R15" t="str">
        <f t="shared" si="4"/>
        <v>normal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Normal</v>
      </c>
      <c r="W15" t="str">
        <f t="shared" si="9"/>
        <v>no review</v>
      </c>
    </row>
    <row r="16" spans="1:23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 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</v>
      </c>
      <c r="S16" t="str">
        <f t="shared" si="5"/>
        <v>priority department</v>
      </c>
      <c r="T16" t="str">
        <f t="shared" si="6"/>
        <v>payment pending</v>
      </c>
      <c r="U16" t="str">
        <f t="shared" si="7"/>
        <v>Very</v>
      </c>
      <c r="V16" t="str">
        <f t="shared" si="8"/>
        <v>High Financial risk</v>
      </c>
      <c r="W16" t="str">
        <f t="shared" si="9"/>
        <v>no review</v>
      </c>
    </row>
    <row r="17" spans="1:2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non-senior</v>
      </c>
      <c r="Q17" t="str">
        <f t="shared" si="3"/>
        <v>normal case</v>
      </c>
      <c r="R17" t="str">
        <f t="shared" si="4"/>
        <v>normal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Normal</v>
      </c>
      <c r="W17" t="str">
        <f t="shared" si="9"/>
        <v>no review</v>
      </c>
    </row>
    <row r="18" spans="1:2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non-senior</v>
      </c>
      <c r="Q18" t="str">
        <f t="shared" si="3"/>
        <v>normal case</v>
      </c>
      <c r="R18" t="str">
        <f t="shared" si="4"/>
        <v>normal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Normal</v>
      </c>
      <c r="W18" t="str">
        <f t="shared" si="9"/>
        <v>no review</v>
      </c>
    </row>
    <row r="19" spans="1:2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non-senior</v>
      </c>
      <c r="Q19" t="str">
        <f t="shared" si="3"/>
        <v>high billing case</v>
      </c>
      <c r="R19" t="str">
        <f t="shared" si="4"/>
        <v>normal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Normal</v>
      </c>
      <c r="W19" t="str">
        <f t="shared" si="9"/>
        <v>no review</v>
      </c>
    </row>
    <row r="20" spans="1:2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 up</v>
      </c>
      <c r="O20" t="str">
        <f t="shared" si="1"/>
        <v>normal bill</v>
      </c>
      <c r="P20" t="str">
        <f t="shared" si="2"/>
        <v>non-senior</v>
      </c>
      <c r="Q20" t="str">
        <f t="shared" si="3"/>
        <v>normal case</v>
      </c>
      <c r="R20" t="str">
        <f t="shared" si="4"/>
        <v>normal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Normal</v>
      </c>
      <c r="W20" t="str">
        <f t="shared" si="9"/>
        <v>no review</v>
      </c>
    </row>
    <row r="21" spans="1:2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non-senior</v>
      </c>
      <c r="Q21" t="str">
        <f t="shared" si="3"/>
        <v>normal case</v>
      </c>
      <c r="R21" t="str">
        <f t="shared" si="4"/>
        <v>normal</v>
      </c>
      <c r="S21" t="str">
        <f t="shared" si="5"/>
        <v>priority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Normal</v>
      </c>
      <c r="W21" t="str">
        <f t="shared" si="9"/>
        <v>no review</v>
      </c>
    </row>
    <row r="22" spans="1:2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non-senior</v>
      </c>
      <c r="Q22" t="str">
        <f t="shared" si="3"/>
        <v>normal case</v>
      </c>
      <c r="R22" t="str">
        <f t="shared" si="4"/>
        <v>normal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Normal</v>
      </c>
      <c r="W22" t="str">
        <f t="shared" si="9"/>
        <v>no review</v>
      </c>
    </row>
    <row r="23" spans="1:2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normal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Normal</v>
      </c>
      <c r="W23" t="str">
        <f t="shared" si="9"/>
        <v>no review</v>
      </c>
    </row>
    <row r="24" spans="1:2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non-senior</v>
      </c>
      <c r="Q24" t="str">
        <f t="shared" si="3"/>
        <v>normal case</v>
      </c>
      <c r="R24" t="str">
        <f t="shared" si="4"/>
        <v>normal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Normal</v>
      </c>
      <c r="W24" t="str">
        <f t="shared" si="9"/>
        <v>MR</v>
      </c>
    </row>
    <row r="25" spans="1:2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 up</v>
      </c>
      <c r="O25" t="str">
        <f t="shared" si="1"/>
        <v>normal bill</v>
      </c>
      <c r="P25" t="str">
        <f t="shared" si="2"/>
        <v>non-senior</v>
      </c>
      <c r="Q25" t="str">
        <f t="shared" si="3"/>
        <v>normal case</v>
      </c>
      <c r="R25" t="str">
        <f t="shared" si="4"/>
        <v>normal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Normal</v>
      </c>
      <c r="W25" t="str">
        <f t="shared" si="9"/>
        <v>no review</v>
      </c>
    </row>
    <row r="26" spans="1:2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normal</v>
      </c>
      <c r="S26" t="str">
        <f t="shared" si="5"/>
        <v>priority department</v>
      </c>
      <c r="T26" t="str">
        <f t="shared" si="6"/>
        <v>payment completed</v>
      </c>
      <c r="U26" t="str">
        <f t="shared" si="7"/>
        <v>Very</v>
      </c>
      <c r="V26" t="str">
        <f t="shared" si="8"/>
        <v>Normal</v>
      </c>
      <c r="W26" t="str">
        <f t="shared" si="9"/>
        <v>no review</v>
      </c>
    </row>
    <row r="27" spans="1:2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non-senior</v>
      </c>
      <c r="Q27" t="str">
        <f t="shared" si="3"/>
        <v>normal case</v>
      </c>
      <c r="R27" t="str">
        <f t="shared" si="4"/>
        <v>normal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Normal</v>
      </c>
      <c r="W27" t="str">
        <f t="shared" si="9"/>
        <v>no review</v>
      </c>
    </row>
    <row r="28" spans="1:2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 up</v>
      </c>
      <c r="O28" t="str">
        <f t="shared" si="1"/>
        <v>normal bill</v>
      </c>
      <c r="P28" t="str">
        <f t="shared" si="2"/>
        <v>non-senior</v>
      </c>
      <c r="Q28" t="str">
        <f t="shared" si="3"/>
        <v>normal case</v>
      </c>
      <c r="R28" t="str">
        <f t="shared" si="4"/>
        <v>normal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Normal</v>
      </c>
      <c r="W28" t="str">
        <f t="shared" si="9"/>
        <v>MR</v>
      </c>
    </row>
    <row r="29" spans="1:2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non-senior</v>
      </c>
      <c r="Q29" t="str">
        <f t="shared" si="3"/>
        <v>normal case</v>
      </c>
      <c r="R29" t="str">
        <f t="shared" si="4"/>
        <v>normal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Normal</v>
      </c>
      <c r="W29" t="str">
        <f t="shared" si="9"/>
        <v>no review</v>
      </c>
    </row>
    <row r="30" spans="1:2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non-senior</v>
      </c>
      <c r="Q30" t="str">
        <f t="shared" si="3"/>
        <v>normal case</v>
      </c>
      <c r="R30" t="str">
        <f t="shared" si="4"/>
        <v>normal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Normal</v>
      </c>
      <c r="W30" t="str">
        <f t="shared" si="9"/>
        <v>no review</v>
      </c>
    </row>
    <row r="31" spans="1:2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non-senior</v>
      </c>
      <c r="Q31" t="str">
        <f t="shared" si="3"/>
        <v>normal case</v>
      </c>
      <c r="R31" t="str">
        <f t="shared" si="4"/>
        <v>normal</v>
      </c>
      <c r="S31" t="str">
        <f t="shared" si="5"/>
        <v>priority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Normal</v>
      </c>
      <c r="W31" t="str">
        <f t="shared" si="9"/>
        <v>MR</v>
      </c>
    </row>
    <row r="32" spans="1:2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non-senior</v>
      </c>
      <c r="Q32" t="str">
        <f t="shared" si="3"/>
        <v>normal case</v>
      </c>
      <c r="R32" t="str">
        <f t="shared" si="4"/>
        <v>normal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Normal</v>
      </c>
      <c r="W32" t="str">
        <f t="shared" si="9"/>
        <v>no review</v>
      </c>
    </row>
    <row r="33" spans="1:2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 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High Financial risk</v>
      </c>
      <c r="W33" t="str">
        <f t="shared" si="9"/>
        <v>no review</v>
      </c>
    </row>
    <row r="34" spans="1:2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non-senior</v>
      </c>
      <c r="Q34" t="str">
        <f t="shared" si="3"/>
        <v>high billing case</v>
      </c>
      <c r="R34" t="str">
        <f t="shared" si="4"/>
        <v>normal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Normal</v>
      </c>
      <c r="W34" t="str">
        <f t="shared" si="9"/>
        <v>no review</v>
      </c>
    </row>
    <row r="35" spans="1:2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non-senior</v>
      </c>
      <c r="Q35" t="str">
        <f t="shared" si="3"/>
        <v>normal case</v>
      </c>
      <c r="R35" t="str">
        <f t="shared" si="4"/>
        <v>normal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Normal</v>
      </c>
      <c r="W35" t="str">
        <f t="shared" si="9"/>
        <v>no review</v>
      </c>
    </row>
    <row r="36" spans="1:2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 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</v>
      </c>
      <c r="S36" t="str">
        <f t="shared" si="5"/>
        <v>priority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Normal</v>
      </c>
      <c r="W36" t="str">
        <f t="shared" si="9"/>
        <v>no review</v>
      </c>
    </row>
    <row r="37" spans="1:2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non-senior</v>
      </c>
      <c r="Q37" t="str">
        <f t="shared" si="3"/>
        <v>normal case</v>
      </c>
      <c r="R37" t="str">
        <f t="shared" si="4"/>
        <v>normal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Normal</v>
      </c>
      <c r="W37" t="str">
        <f t="shared" si="9"/>
        <v>no review</v>
      </c>
    </row>
    <row r="38" spans="1:2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non-senior</v>
      </c>
      <c r="Q38" t="str">
        <f t="shared" si="3"/>
        <v>normal case</v>
      </c>
      <c r="R38" t="str">
        <f t="shared" si="4"/>
        <v>normal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Normal</v>
      </c>
      <c r="W38" t="str">
        <f t="shared" si="9"/>
        <v>MR</v>
      </c>
    </row>
    <row r="39" spans="1:2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non-senior</v>
      </c>
      <c r="Q39" t="str">
        <f t="shared" si="3"/>
        <v>normal case</v>
      </c>
      <c r="R39" t="str">
        <f t="shared" si="4"/>
        <v>normal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Normal</v>
      </c>
      <c r="W39" t="str">
        <f t="shared" si="9"/>
        <v>no review</v>
      </c>
    </row>
    <row r="40" spans="1:2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 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normal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Normal</v>
      </c>
      <c r="W40" t="str">
        <f t="shared" si="9"/>
        <v>no review</v>
      </c>
    </row>
    <row r="41" spans="1:2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non-senior</v>
      </c>
      <c r="Q41" t="str">
        <f t="shared" si="3"/>
        <v>high billing case</v>
      </c>
      <c r="R41" t="str">
        <f t="shared" si="4"/>
        <v>normal</v>
      </c>
      <c r="S41" t="str">
        <f t="shared" si="5"/>
        <v>priority department</v>
      </c>
      <c r="T41" t="str">
        <f t="shared" si="6"/>
        <v>payment completed</v>
      </c>
      <c r="U41" t="str">
        <f t="shared" si="7"/>
        <v>Very</v>
      </c>
      <c r="V41" t="str">
        <f t="shared" si="8"/>
        <v>Normal</v>
      </c>
      <c r="W41" t="str">
        <f t="shared" si="9"/>
        <v>no review</v>
      </c>
    </row>
    <row r="47" spans="1:23">
      <c r="E47" t="s">
        <v>123</v>
      </c>
      <c r="G47">
        <v>1019500</v>
      </c>
    </row>
    <row r="48" spans="1:23">
      <c r="E48" t="s">
        <v>138</v>
      </c>
      <c r="G48" t="s">
        <v>225</v>
      </c>
    </row>
    <row r="49" spans="5:5">
      <c r="E49" t="s">
        <v>139</v>
      </c>
    </row>
    <row r="50" spans="5:5">
      <c r="E50" t="s">
        <v>140</v>
      </c>
    </row>
    <row r="51" spans="5:5">
      <c r="E51" t="s">
        <v>124</v>
      </c>
    </row>
    <row r="52" spans="5:5">
      <c r="E52" t="s">
        <v>125</v>
      </c>
    </row>
    <row r="53" spans="5:5">
      <c r="E53" t="s">
        <v>126</v>
      </c>
    </row>
    <row r="54" spans="5:5">
      <c r="E54" t="s">
        <v>127</v>
      </c>
    </row>
    <row r="55" spans="5:5">
      <c r="E55" t="s">
        <v>128</v>
      </c>
    </row>
    <row r="56" spans="5:5">
      <c r="E56" t="s">
        <v>129</v>
      </c>
    </row>
    <row r="57" spans="5:5">
      <c r="E57" t="s">
        <v>130</v>
      </c>
    </row>
    <row r="58" spans="5:5">
      <c r="E58" t="s">
        <v>131</v>
      </c>
    </row>
    <row r="59" spans="5:5">
      <c r="E59" t="s">
        <v>132</v>
      </c>
    </row>
    <row r="60" spans="5:5">
      <c r="E60" t="s">
        <v>133</v>
      </c>
    </row>
    <row r="61" spans="5:5">
      <c r="E61" t="s">
        <v>134</v>
      </c>
    </row>
    <row r="62" spans="5:5">
      <c r="E62" t="s">
        <v>135</v>
      </c>
    </row>
    <row r="63" spans="5:5">
      <c r="E63" t="s">
        <v>136</v>
      </c>
    </row>
    <row r="64" spans="5:5">
      <c r="E64" t="s">
        <v>137</v>
      </c>
    </row>
    <row r="65" spans="5:5">
      <c r="E65" t="s">
        <v>141</v>
      </c>
    </row>
    <row r="66" spans="5:5">
      <c r="E66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30" zoomScale="89" zoomScaleNormal="102" workbookViewId="0">
      <selection activeCell="A40" sqref="A40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9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Rajesh Jaligapu</cp:lastModifiedBy>
  <dcterms:created xsi:type="dcterms:W3CDTF">2026-09-09T05:55:57Z</dcterms:created>
  <dcterms:modified xsi:type="dcterms:W3CDTF">2026-10-28T12:15:09Z</dcterms:modified>
</cp:coreProperties>
</file>